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7b404005393a13d/tfm/planify-app/"/>
    </mc:Choice>
  </mc:AlternateContent>
  <xr:revisionPtr revIDLastSave="2" documentId="8_{F7A2B02E-5076-4764-B071-E7BC05690984}" xr6:coauthVersionLast="47" xr6:coauthVersionMax="47" xr10:uidLastSave="{4767CE36-23CB-4A21-8107-9D2FA512C8ED}"/>
  <bookViews>
    <workbookView xWindow="-108" yWindow="-108" windowWidth="23256" windowHeight="12456" tabRatio="500" activeTab="1" xr2:uid="{00000000-000D-0000-FFFF-FFFF00000000}"/>
  </bookViews>
  <sheets>
    <sheet name="Diagrama de Gantt" sheetId="1" r:id="rId1"/>
    <sheet name="Hoja1 (2)" sheetId="3" r:id="rId2"/>
    <sheet name="Hoja1" sheetId="2" r:id="rId3"/>
  </sheets>
  <definedNames>
    <definedName name="Incremento_de_desplazamiento" localSheetId="1">'Hoja1 (2)'!$C$7</definedName>
    <definedName name="Inicio_del_proyecto" localSheetId="1">'Hoja1 (2)'!$C$6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2" i="1"/>
  <c r="D21" i="1"/>
  <c r="D20" i="1"/>
  <c r="D19" i="1"/>
  <c r="D16" i="1"/>
  <c r="D15" i="1"/>
  <c r="D14" i="1"/>
  <c r="D13" i="1"/>
  <c r="D12" i="1"/>
  <c r="D11" i="1"/>
  <c r="D10" i="1"/>
  <c r="D9" i="1"/>
  <c r="D6" i="1"/>
  <c r="D5" i="1"/>
  <c r="D4" i="1"/>
</calcChain>
</file>

<file path=xl/sharedStrings.xml><?xml version="1.0" encoding="utf-8"?>
<sst xmlns="http://schemas.openxmlformats.org/spreadsheetml/2006/main" count="101" uniqueCount="78">
  <si>
    <t>Descripción del hito</t>
  </si>
  <si>
    <t>Inicio</t>
  </si>
  <si>
    <t>Fin</t>
  </si>
  <si>
    <t>Días</t>
  </si>
  <si>
    <t>Feb 2026</t>
  </si>
  <si>
    <t>Mar 2026</t>
  </si>
  <si>
    <t>Abr 2026</t>
  </si>
  <si>
    <t>May 2026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</si>
  <si>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</si>
  <si>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</si>
  <si>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</si>
  <si>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</si>
  <si>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</si>
  <si>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</si>
  <si>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</si>
  <si>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</si>
  <si>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</si>
  <si>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</si>
  <si>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</si>
  <si>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</si>
  <si>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</si>
  <si>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</si>
  <si>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</si>
  <si>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PEC1: Planificación de tareas e investigación</t>
  </si>
  <si>
    <t>1.1. Estudio, análisis y evaluación objetivos</t>
  </si>
  <si>
    <t>1.2. Análisis herramientas disponibles y MVP</t>
  </si>
  <si>
    <t>1.3. Elaboración de documentación</t>
  </si>
  <si>
    <t>1.4. ⬥ Entrega PEC 1</t>
  </si>
  <si>
    <t>◆</t>
  </si>
  <si>
    <t>PEC2: Investigación, análisis y resultados</t>
  </si>
  <si>
    <t>2.1. Benchmarking, análisis de mercado</t>
  </si>
  <si>
    <t>2.2. Estudio arquitectura de la aplicación</t>
  </si>
  <si>
    <t>2.3. Análisis de viabilidad y casos de uso</t>
  </si>
  <si>
    <t>2.4. Desarrollo base de datos con PostgreSQL</t>
  </si>
  <si>
    <t>2.5. Desarrollo backend con Node.js</t>
  </si>
  <si>
    <t>2.6. Desarrollo frontend con Angular</t>
  </si>
  <si>
    <t>2.7. Elaboración wireframes y estudio UI</t>
  </si>
  <si>
    <t>2.8. Elaboración entregables PEC 2</t>
  </si>
  <si>
    <t>2.9. ⬥ Entrega PEC 2</t>
  </si>
  <si>
    <t>PEC3: Investigación, análisis y resultados 2</t>
  </si>
  <si>
    <t>3.1. Desarrollo frontend con Angular</t>
  </si>
  <si>
    <t>3.2. Análisis de resultados y corrección errores</t>
  </si>
  <si>
    <t>3.4. Elaboración de la memoria final</t>
  </si>
  <si>
    <t>3.5. Elaboración entregables PEC 3</t>
  </si>
  <si>
    <t>3.6. ⬥ Entrega PEC 3</t>
  </si>
  <si>
    <t>PEC4: Memoria final</t>
  </si>
  <si>
    <t>4.1. Repaso consecución objetivos y resultados</t>
  </si>
  <si>
    <t>4.2. Conclusiones Trabajo Fin de Máster</t>
  </si>
  <si>
    <t>4.3. Elaboración de la memoria final</t>
  </si>
  <si>
    <t>4.4. Elaboración presentación vídeo</t>
  </si>
  <si>
    <t>4.5. Preparación defensa Trabajo Fin de Máster</t>
  </si>
  <si>
    <t>4.6. ⬥ Entrega PEC 4</t>
  </si>
  <si>
    <t>LEYENDA</t>
  </si>
  <si>
    <t>PEC1 – Planificación</t>
  </si>
  <si>
    <t>PEC2 – Investigación y desarrollo</t>
  </si>
  <si>
    <t>PEC3 – Análisis y resultados 2</t>
  </si>
  <si>
    <t>PEC4 – Memoria final</t>
  </si>
  <si>
    <t>◆ Hito / Entrega</t>
  </si>
  <si>
    <t>4.6. Entrega PEC 4</t>
  </si>
  <si>
    <t>4.5 Preparación defensa Trabajo Fin de Máster</t>
  </si>
  <si>
    <t>3.6. Entrega PEC 3</t>
  </si>
  <si>
    <t>3.2. Análisis de resultados, pruebas y corrección de errores</t>
  </si>
  <si>
    <t>2.9. Entrega PEC 2</t>
  </si>
  <si>
    <t>2.2. Estudio de la arquitectura de la aplicación</t>
  </si>
  <si>
    <t>2.1. Benchmarking, análisis de mercado, público objetivo</t>
  </si>
  <si>
    <t>1.4. Entrega PEC 1</t>
  </si>
  <si>
    <t xml:space="preserve">1.3. Elaboración de documentación </t>
  </si>
  <si>
    <t>1.2. Análisis de herramientas disponibles y definición MVP</t>
  </si>
  <si>
    <t>1.1. Estudio, análisis y evaluación objetivos y resultados esperados</t>
  </si>
  <si>
    <t>d</t>
  </si>
  <si>
    <t>s</t>
  </si>
  <si>
    <t>v</t>
  </si>
  <si>
    <t>j</t>
  </si>
  <si>
    <t>x</t>
  </si>
  <si>
    <t>m</t>
  </si>
  <si>
    <t>l</t>
  </si>
  <si>
    <t>semana 4</t>
  </si>
  <si>
    <t>semana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</si>
</sst>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\-#,##0\ 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CC0000"/>
      <name val="Arial"/>
      <family val="2"/>
    </font>
    <font>
      <b/>
      <sz val="10"/>
      <color rgb="FFCC000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6DCE4"/>
        <bgColor rgb="FFDDDDDD"/>
      </patternFill>
    </fill>
    <fill>
      <patternFill patternType="solid">
        <fgColor rgb="FF4472C4"/>
        <bgColor rgb="FF666699"/>
      </patternFill>
    </fill>
    <fill>
      <patternFill patternType="solid">
        <fgColor rgb="FFF4CCBC"/>
        <bgColor rgb="FFDDDDDD"/>
      </patternFill>
    </fill>
    <fill>
      <patternFill patternType="solid">
        <fgColor rgb="FFFAFAFA"/>
        <bgColor rgb="FFFFFFFF"/>
      </patternFill>
    </fill>
    <fill>
      <patternFill patternType="solid">
        <fgColor rgb="FFE8845A"/>
        <bgColor rgb="FFF9A825"/>
      </patternFill>
    </fill>
    <fill>
      <patternFill patternType="solid">
        <fgColor rgb="FFF5F5F5"/>
        <bgColor rgb="FFFAFAFA"/>
      </patternFill>
    </fill>
    <fill>
      <patternFill patternType="solid">
        <fgColor rgb="FFBDD7EE"/>
        <bgColor rgb="FFD6DCE4"/>
      </patternFill>
    </fill>
    <fill>
      <patternFill patternType="solid">
        <fgColor rgb="FF4BACC6"/>
        <bgColor rgb="FF70BF6A"/>
      </patternFill>
    </fill>
    <fill>
      <patternFill patternType="solid">
        <fgColor rgb="FF70BF6A"/>
        <bgColor rgb="FF4BACC6"/>
      </patternFill>
    </fill>
    <fill>
      <patternFill patternType="solid">
        <fgColor rgb="FF339933"/>
        <bgColor rgb="FF008000"/>
      </patternFill>
    </fill>
    <fill>
      <patternFill patternType="solid">
        <fgColor rgb="FFFFE066"/>
        <bgColor rgb="FFF4CCBC"/>
      </patternFill>
    </fill>
    <fill>
      <patternFill patternType="solid">
        <fgColor rgb="FFF9A825"/>
        <bgColor rgb="FFFFCC00"/>
      </patternFill>
    </fill>
    <fill>
      <patternFill patternType="solid">
        <fgColor rgb="FFFFFFFF"/>
        <bgColor rgb="FFFAFAFA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5">
    <xf numFmtId="0" fontId="0" fillId="0" borderId="0"/>
    <xf numFmtId="0" fontId="1" fillId="0" borderId="0"/>
    <xf numFmtId="41" fontId="1" fillId="0" borderId="0" applyFont="0" applyFill="0" applyBorder="0" applyAlignment="0" applyProtection="0"/>
    <xf numFmtId="14" fontId="1" fillId="0" borderId="0" applyFont="0" applyFill="0" applyBorder="0">
      <alignment horizontal="center" vertical="center"/>
    </xf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2" xfId="0" applyFill="1" applyBorder="1"/>
    <xf numFmtId="0" fontId="5" fillId="6" borderId="1" xfId="0" applyFont="1" applyFill="1" applyBorder="1" applyAlignment="1">
      <alignment horizontal="left" vertical="center" indent="1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0" fillId="6" borderId="2" xfId="0" applyFill="1" applyBorder="1"/>
    <xf numFmtId="0" fontId="5" fillId="8" borderId="1" xfId="0" applyFont="1" applyFill="1" applyBorder="1" applyAlignment="1">
      <alignment horizontal="left" vertical="center" indent="1"/>
    </xf>
    <xf numFmtId="1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6" fillId="8" borderId="1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0" fillId="10" borderId="2" xfId="0" applyFill="1" applyBorder="1"/>
    <xf numFmtId="0" fontId="2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/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14" borderId="2" xfId="0" applyFill="1" applyBorder="1"/>
    <xf numFmtId="0" fontId="6" fillId="6" borderId="1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left" vertical="center" indent="1"/>
    </xf>
    <xf numFmtId="0" fontId="6" fillId="15" borderId="1" xfId="0" applyFont="1" applyFill="1" applyBorder="1" applyAlignment="1">
      <alignment horizontal="left" vertical="center" indent="1"/>
    </xf>
    <xf numFmtId="0" fontId="1" fillId="0" borderId="0" xfId="1"/>
    <xf numFmtId="164" fontId="9" fillId="16" borderId="0" xfId="2" applyNumberFormat="1" applyFont="1" applyFill="1" applyBorder="1" applyAlignment="1">
      <alignment horizontal="center" vertical="center"/>
    </xf>
    <xf numFmtId="14" fontId="9" fillId="16" borderId="0" xfId="3" applyFont="1" applyFill="1" applyBorder="1">
      <alignment horizontal="center" vertical="center"/>
    </xf>
    <xf numFmtId="0" fontId="9" fillId="16" borderId="0" xfId="1" applyFont="1" applyFill="1" applyAlignment="1">
      <alignment horizontal="left" vertical="center" wrapText="1"/>
    </xf>
    <xf numFmtId="0" fontId="9" fillId="16" borderId="0" xfId="1" applyFont="1" applyFill="1" applyAlignment="1">
      <alignment horizontal="left" vertical="center" wrapText="1"/>
    </xf>
    <xf numFmtId="0" fontId="10" fillId="17" borderId="0" xfId="1" applyFont="1" applyFill="1" applyAlignment="1">
      <alignment horizontal="left" vertical="center" wrapText="1"/>
    </xf>
    <xf numFmtId="164" fontId="9" fillId="18" borderId="0" xfId="2" applyNumberFormat="1" applyFont="1" applyFill="1" applyBorder="1" applyAlignment="1">
      <alignment horizontal="center" vertical="center"/>
    </xf>
    <xf numFmtId="14" fontId="9" fillId="18" borderId="0" xfId="3" applyFont="1" applyFill="1" applyBorder="1">
      <alignment horizontal="center" vertical="center"/>
    </xf>
    <xf numFmtId="0" fontId="9" fillId="18" borderId="0" xfId="1" applyFont="1" applyFill="1" applyAlignment="1">
      <alignment horizontal="left" vertical="center" wrapText="1"/>
    </xf>
    <xf numFmtId="0" fontId="9" fillId="18" borderId="0" xfId="1" applyFont="1" applyFill="1" applyAlignment="1">
      <alignment horizontal="left" vertical="center" wrapText="1"/>
    </xf>
    <xf numFmtId="0" fontId="10" fillId="19" borderId="0" xfId="1" applyFont="1" applyFill="1" applyAlignment="1">
      <alignment horizontal="left" vertical="center" wrapText="1"/>
    </xf>
    <xf numFmtId="164" fontId="9" fillId="20" borderId="0" xfId="2" applyNumberFormat="1" applyFont="1" applyFill="1" applyBorder="1" applyAlignment="1">
      <alignment horizontal="center" vertical="center"/>
    </xf>
    <xf numFmtId="14" fontId="9" fillId="20" borderId="0" xfId="3" applyFont="1" applyFill="1" applyBorder="1">
      <alignment horizontal="center" vertical="center"/>
    </xf>
    <xf numFmtId="0" fontId="9" fillId="20" borderId="0" xfId="1" applyFont="1" applyFill="1" applyAlignment="1">
      <alignment horizontal="left" vertical="center" wrapText="1"/>
    </xf>
    <xf numFmtId="0" fontId="10" fillId="21" borderId="0" xfId="1" applyFont="1" applyFill="1" applyAlignment="1">
      <alignment horizontal="left" vertical="center" wrapText="1"/>
    </xf>
    <xf numFmtId="164" fontId="9" fillId="22" borderId="0" xfId="2" applyNumberFormat="1" applyFont="1" applyFill="1" applyBorder="1" applyAlignment="1">
      <alignment horizontal="center" vertical="center"/>
    </xf>
    <xf numFmtId="14" fontId="9" fillId="22" borderId="0" xfId="3" applyFont="1" applyFill="1" applyBorder="1">
      <alignment horizontal="center" vertical="center"/>
    </xf>
    <xf numFmtId="0" fontId="9" fillId="22" borderId="0" xfId="1" applyFont="1" applyFill="1" applyAlignment="1">
      <alignment horizontal="left" vertical="center" wrapText="1"/>
    </xf>
    <xf numFmtId="0" fontId="11" fillId="23" borderId="0" xfId="1" applyFont="1" applyFill="1" applyAlignment="1">
      <alignment horizontal="left" vertical="center" wrapText="1"/>
    </xf>
    <xf numFmtId="0" fontId="10" fillId="23" borderId="0" xfId="1" applyFont="1" applyFill="1" applyAlignment="1">
      <alignment horizontal="left" vertical="center" wrapText="1"/>
    </xf>
    <xf numFmtId="164" fontId="12" fillId="0" borderId="0" xfId="2" applyNumberFormat="1" applyFont="1" applyBorder="1" applyAlignment="1">
      <alignment horizontal="center" vertical="center"/>
    </xf>
    <xf numFmtId="14" fontId="12" fillId="0" borderId="0" xfId="3" applyFont="1" applyBorder="1">
      <alignment horizontal="center" vertical="center"/>
    </xf>
    <xf numFmtId="9" fontId="12" fillId="0" borderId="0" xfId="4" applyFont="1" applyBorder="1" applyAlignment="1">
      <alignment horizontal="center" vertical="center"/>
    </xf>
    <xf numFmtId="0" fontId="1" fillId="0" borderId="0" xfId="1" applyAlignment="1">
      <alignment horizontal="left" wrapText="1" indent="2"/>
    </xf>
    <xf numFmtId="0" fontId="13" fillId="24" borderId="0" xfId="1" applyFont="1" applyFill="1" applyAlignment="1">
      <alignment horizontal="center" vertical="center" wrapText="1"/>
    </xf>
    <xf numFmtId="0" fontId="8" fillId="24" borderId="0" xfId="1" applyFont="1" applyFill="1" applyAlignment="1">
      <alignment horizontal="center" vertical="center" wrapText="1"/>
    </xf>
    <xf numFmtId="0" fontId="8" fillId="24" borderId="0" xfId="1" applyFont="1" applyFill="1" applyAlignment="1">
      <alignment horizontal="left" vertical="center" indent="1"/>
    </xf>
    <xf numFmtId="0" fontId="1" fillId="0" borderId="0" xfId="1" applyAlignment="1">
      <alignment horizontal="center"/>
    </xf>
  </cellXfs>
  <cellStyles count="5">
    <cellStyle name="Fecha" xfId="3" xr:uid="{14F1AE08-CE79-47EB-B9B7-150CCE63BCFB}"/>
    <cellStyle name="Millares [0] 2" xfId="2" xr:uid="{78492964-F6F0-4DB6-BF1E-26B31CE8C494}"/>
    <cellStyle name="Normal" xfId="0" builtinId="0"/>
    <cellStyle name="Normal 2" xfId="1" xr:uid="{5BB8DEF8-0251-429E-9DCD-111885AFF594}"/>
    <cellStyle name="Porcentaje 2" xfId="4" xr:uid="{04143636-4490-4F20-87F6-5DB55788A1E7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FAFA"/>
      <rgbColor rgb="FFF5F5F5"/>
      <rgbColor rgb="FF660066"/>
      <rgbColor rgb="FFE8845A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4"/>
      <rgbColor rgb="FFDDDDDD"/>
      <rgbColor rgb="FFFFE066"/>
      <rgbColor rgb="FF99CCFF"/>
      <rgbColor rgb="FFFF99CC"/>
      <rgbColor rgb="FFCC99FF"/>
      <rgbColor rgb="FFF4CCBC"/>
      <rgbColor rgb="FF4472C4"/>
      <rgbColor rgb="FF4BACC6"/>
      <rgbColor rgb="FF99CC00"/>
      <rgbColor rgb="FFFFCC00"/>
      <rgbColor rgb="FFF9A825"/>
      <rgbColor rgb="FFFF6600"/>
      <rgbColor rgb="FF666699"/>
      <rgbColor rgb="FF70BF6A"/>
      <rgbColor rgb="FF003366"/>
      <rgbColor rgb="FF339933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zoomScaleNormal="100" workbookViewId="0">
      <pane xSplit="4" ySplit="2" topLeftCell="E17" activePane="bottomRight" state="frozen"/>
      <selection pane="topRight" activeCell="E1" sqref="E1"/>
      <selection pane="bottomLeft" activeCell="A3" sqref="A3"/>
      <selection pane="bottomRight" activeCell="F25" sqref="F25"/>
    </sheetView>
  </sheetViews>
  <sheetFormatPr baseColWidth="10" defaultColWidth="8.6640625" defaultRowHeight="14.4" x14ac:dyDescent="0.3"/>
  <cols>
    <col min="1" max="1" width="42" customWidth="1"/>
    <col min="2" max="3" width="12" customWidth="1"/>
    <col min="4" max="4" width="6" customWidth="1"/>
    <col min="5" max="19" width="5" customWidth="1"/>
  </cols>
  <sheetData>
    <row r="1" spans="1:19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 t="s">
        <v>5</v>
      </c>
      <c r="H1" s="1"/>
      <c r="I1" s="1"/>
      <c r="J1" s="1"/>
      <c r="K1" s="1"/>
      <c r="L1" s="1" t="s">
        <v>6</v>
      </c>
      <c r="M1" s="1"/>
      <c r="N1" s="1"/>
      <c r="O1" s="1"/>
      <c r="P1" s="1" t="s">
        <v>7</v>
      </c>
      <c r="Q1" s="1"/>
      <c r="R1" s="1"/>
      <c r="S1" s="1"/>
    </row>
    <row r="2" spans="1:19" ht="18" customHeight="1" x14ac:dyDescent="0.3">
      <c r="A2" s="3"/>
      <c r="B2" s="3"/>
      <c r="C2" s="3"/>
      <c r="D2" s="3"/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</row>
    <row r="3" spans="1:19" ht="18" customHeight="1" x14ac:dyDescent="0.3">
      <c r="A3" s="5" t="s">
        <v>23</v>
      </c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8" customHeight="1" x14ac:dyDescent="0.3">
      <c r="A4" s="8" t="s">
        <v>24</v>
      </c>
      <c r="B4" s="9">
        <v>46071</v>
      </c>
      <c r="C4" s="9">
        <v>46077</v>
      </c>
      <c r="D4" s="10">
        <f>(C4-B4)+1</f>
        <v>7</v>
      </c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8" customHeight="1" x14ac:dyDescent="0.3">
      <c r="A5" s="13" t="s">
        <v>25</v>
      </c>
      <c r="B5" s="14">
        <v>46082</v>
      </c>
      <c r="C5" s="14">
        <v>46087</v>
      </c>
      <c r="D5" s="15">
        <f>(C5-B5)+1</f>
        <v>6</v>
      </c>
      <c r="E5" s="16"/>
      <c r="F5" s="11"/>
      <c r="G5" s="11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8" customHeight="1" x14ac:dyDescent="0.3">
      <c r="A6" s="8" t="s">
        <v>26</v>
      </c>
      <c r="B6" s="9">
        <v>46078</v>
      </c>
      <c r="C6" s="9">
        <v>46087</v>
      </c>
      <c r="D6" s="10">
        <f>(C6-B6)+1</f>
        <v>10</v>
      </c>
      <c r="E6" s="12"/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ht="18" customHeight="1" x14ac:dyDescent="0.3">
      <c r="A7" s="17" t="s">
        <v>27</v>
      </c>
      <c r="B7" s="14">
        <v>46088</v>
      </c>
      <c r="C7" s="14">
        <v>46088</v>
      </c>
      <c r="D7" s="15">
        <v>1</v>
      </c>
      <c r="E7" s="16"/>
      <c r="F7" s="16"/>
      <c r="G7" s="18" t="s">
        <v>28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ht="18" customHeight="1" x14ac:dyDescent="0.3">
      <c r="A8" s="19" t="s">
        <v>29</v>
      </c>
      <c r="B8" s="20"/>
      <c r="C8" s="20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18" customHeight="1" x14ac:dyDescent="0.3">
      <c r="A9" s="13" t="s">
        <v>30</v>
      </c>
      <c r="B9" s="14">
        <v>46089</v>
      </c>
      <c r="C9" s="14">
        <v>46094</v>
      </c>
      <c r="D9" s="15">
        <f t="shared" ref="D9:D16" si="0">(C9-B9)+1</f>
        <v>6</v>
      </c>
      <c r="E9" s="16"/>
      <c r="F9" s="16"/>
      <c r="G9" s="22"/>
      <c r="H9" s="22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8" customHeight="1" x14ac:dyDescent="0.3">
      <c r="A10" s="8" t="s">
        <v>31</v>
      </c>
      <c r="B10" s="9">
        <v>46089</v>
      </c>
      <c r="C10" s="9">
        <v>46094</v>
      </c>
      <c r="D10" s="10">
        <f t="shared" si="0"/>
        <v>6</v>
      </c>
      <c r="E10" s="12"/>
      <c r="F10" s="12"/>
      <c r="G10" s="22"/>
      <c r="H10" s="2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ht="18" customHeight="1" x14ac:dyDescent="0.3">
      <c r="A11" s="13" t="s">
        <v>32</v>
      </c>
      <c r="B11" s="14">
        <v>46091</v>
      </c>
      <c r="C11" s="14">
        <v>46097</v>
      </c>
      <c r="D11" s="15">
        <f t="shared" si="0"/>
        <v>7</v>
      </c>
      <c r="E11" s="16"/>
      <c r="F11" s="16"/>
      <c r="G11" s="16"/>
      <c r="H11" s="22"/>
      <c r="I11" s="22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ht="18" customHeight="1" x14ac:dyDescent="0.3">
      <c r="A12" s="8" t="s">
        <v>33</v>
      </c>
      <c r="B12" s="9">
        <v>46095</v>
      </c>
      <c r="C12" s="9">
        <v>46101</v>
      </c>
      <c r="D12" s="10">
        <f t="shared" si="0"/>
        <v>7</v>
      </c>
      <c r="E12" s="12"/>
      <c r="F12" s="12"/>
      <c r="G12" s="12"/>
      <c r="H12" s="22"/>
      <c r="I12" s="2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8" customHeight="1" x14ac:dyDescent="0.3">
      <c r="A13" s="13" t="s">
        <v>34</v>
      </c>
      <c r="B13" s="14">
        <v>46098</v>
      </c>
      <c r="C13" s="14">
        <v>46105</v>
      </c>
      <c r="D13" s="15">
        <f t="shared" si="0"/>
        <v>8</v>
      </c>
      <c r="E13" s="16"/>
      <c r="F13" s="16"/>
      <c r="G13" s="16"/>
      <c r="H13" s="16"/>
      <c r="I13" s="22"/>
      <c r="J13" s="22"/>
      <c r="K13" s="16"/>
      <c r="L13" s="16"/>
      <c r="M13" s="16"/>
      <c r="N13" s="16"/>
      <c r="O13" s="16"/>
      <c r="P13" s="16"/>
      <c r="Q13" s="16"/>
      <c r="R13" s="16"/>
      <c r="S13" s="16"/>
    </row>
    <row r="14" spans="1:19" ht="18" customHeight="1" x14ac:dyDescent="0.3">
      <c r="A14" s="8" t="s">
        <v>35</v>
      </c>
      <c r="B14" s="9">
        <v>46099</v>
      </c>
      <c r="C14" s="9">
        <v>46107</v>
      </c>
      <c r="D14" s="10">
        <f t="shared" si="0"/>
        <v>9</v>
      </c>
      <c r="E14" s="12"/>
      <c r="F14" s="12"/>
      <c r="G14" s="12"/>
      <c r="H14" s="12"/>
      <c r="I14" s="22"/>
      <c r="J14" s="2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8" customHeight="1" x14ac:dyDescent="0.3">
      <c r="A15" s="13" t="s">
        <v>36</v>
      </c>
      <c r="B15" s="14">
        <v>46095</v>
      </c>
      <c r="C15" s="14">
        <v>46102</v>
      </c>
      <c r="D15" s="15">
        <f t="shared" si="0"/>
        <v>8</v>
      </c>
      <c r="E15" s="16"/>
      <c r="F15" s="16"/>
      <c r="G15" s="16"/>
      <c r="H15" s="22"/>
      <c r="I15" s="22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18" customHeight="1" x14ac:dyDescent="0.3">
      <c r="A16" s="8" t="s">
        <v>37</v>
      </c>
      <c r="B16" s="9">
        <v>46104</v>
      </c>
      <c r="C16" s="9">
        <v>46109</v>
      </c>
      <c r="D16" s="10">
        <f t="shared" si="0"/>
        <v>6</v>
      </c>
      <c r="E16" s="12"/>
      <c r="F16" s="12"/>
      <c r="G16" s="12"/>
      <c r="H16" s="12"/>
      <c r="I16" s="12"/>
      <c r="J16" s="22"/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18" customHeight="1" x14ac:dyDescent="0.3">
      <c r="A17" s="17" t="s">
        <v>38</v>
      </c>
      <c r="B17" s="14">
        <v>46110</v>
      </c>
      <c r="C17" s="14">
        <v>46110</v>
      </c>
      <c r="D17" s="15">
        <v>1</v>
      </c>
      <c r="E17" s="16"/>
      <c r="F17" s="16"/>
      <c r="G17" s="16"/>
      <c r="H17" s="16"/>
      <c r="I17" s="16"/>
      <c r="J17" s="18" t="s">
        <v>28</v>
      </c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18" customHeight="1" x14ac:dyDescent="0.3">
      <c r="A18" s="23" t="s">
        <v>39</v>
      </c>
      <c r="B18" s="24"/>
      <c r="C18" s="24"/>
      <c r="D18" s="24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ht="18" customHeight="1" x14ac:dyDescent="0.3">
      <c r="A19" s="13" t="s">
        <v>40</v>
      </c>
      <c r="B19" s="14">
        <v>46111</v>
      </c>
      <c r="C19" s="14">
        <v>46123</v>
      </c>
      <c r="D19" s="15">
        <f>(C19-B19)+1</f>
        <v>13</v>
      </c>
      <c r="E19" s="16"/>
      <c r="F19" s="16"/>
      <c r="G19" s="16"/>
      <c r="H19" s="16"/>
      <c r="I19" s="16"/>
      <c r="J19" s="16"/>
      <c r="K19" s="26"/>
      <c r="L19" s="26"/>
      <c r="M19" s="16"/>
      <c r="N19" s="16"/>
      <c r="O19" s="16"/>
      <c r="P19" s="16"/>
      <c r="Q19" s="16"/>
      <c r="R19" s="16"/>
      <c r="S19" s="16"/>
    </row>
    <row r="20" spans="1:19" ht="18" customHeight="1" x14ac:dyDescent="0.3">
      <c r="A20" s="8" t="s">
        <v>41</v>
      </c>
      <c r="B20" s="9">
        <v>46120</v>
      </c>
      <c r="C20" s="9">
        <v>46130</v>
      </c>
      <c r="D20" s="10">
        <f>(C20-B20)+1</f>
        <v>11</v>
      </c>
      <c r="E20" s="12"/>
      <c r="F20" s="12"/>
      <c r="G20" s="12"/>
      <c r="H20" s="12"/>
      <c r="I20" s="12"/>
      <c r="J20" s="12"/>
      <c r="K20" s="12"/>
      <c r="L20" s="26"/>
      <c r="M20" s="26"/>
      <c r="N20" s="12"/>
      <c r="O20" s="12"/>
      <c r="P20" s="12"/>
      <c r="Q20" s="12"/>
      <c r="R20" s="12"/>
      <c r="S20" s="12"/>
    </row>
    <row r="21" spans="1:19" ht="18" customHeight="1" x14ac:dyDescent="0.3">
      <c r="A21" s="13" t="s">
        <v>42</v>
      </c>
      <c r="B21" s="14">
        <v>46126</v>
      </c>
      <c r="C21" s="14">
        <v>46134</v>
      </c>
      <c r="D21" s="15">
        <f>(C21-B21)+1</f>
        <v>9</v>
      </c>
      <c r="E21" s="16"/>
      <c r="F21" s="16"/>
      <c r="G21" s="16"/>
      <c r="H21" s="16"/>
      <c r="I21" s="16"/>
      <c r="J21" s="16"/>
      <c r="K21" s="16"/>
      <c r="L21" s="16"/>
      <c r="M21" s="26"/>
      <c r="N21" s="26"/>
      <c r="O21" s="16"/>
      <c r="P21" s="16"/>
      <c r="Q21" s="16"/>
      <c r="R21" s="16"/>
      <c r="S21" s="16"/>
    </row>
    <row r="22" spans="1:19" ht="18" customHeight="1" x14ac:dyDescent="0.3">
      <c r="A22" s="8" t="s">
        <v>43</v>
      </c>
      <c r="B22" s="9">
        <v>46132</v>
      </c>
      <c r="C22" s="9">
        <v>46137</v>
      </c>
      <c r="D22" s="10">
        <f>(C22-B22)+1</f>
        <v>6</v>
      </c>
      <c r="E22" s="12"/>
      <c r="F22" s="12"/>
      <c r="G22" s="12"/>
      <c r="H22" s="12"/>
      <c r="I22" s="12"/>
      <c r="J22" s="12"/>
      <c r="K22" s="12"/>
      <c r="L22" s="12"/>
      <c r="M22" s="12"/>
      <c r="N22" s="26"/>
      <c r="O22" s="12"/>
      <c r="P22" s="12"/>
      <c r="Q22" s="12"/>
      <c r="R22" s="12"/>
      <c r="S22" s="12"/>
    </row>
    <row r="23" spans="1:19" ht="18" customHeight="1" x14ac:dyDescent="0.3">
      <c r="A23" s="17" t="s">
        <v>44</v>
      </c>
      <c r="B23" s="14">
        <v>46138</v>
      </c>
      <c r="C23" s="14">
        <v>46138</v>
      </c>
      <c r="D23" s="15">
        <v>1</v>
      </c>
      <c r="E23" s="16"/>
      <c r="F23" s="16"/>
      <c r="G23" s="16"/>
      <c r="H23" s="16"/>
      <c r="I23" s="16"/>
      <c r="J23" s="16"/>
      <c r="K23" s="16"/>
      <c r="L23" s="16"/>
      <c r="M23" s="16"/>
      <c r="N23" s="18" t="s">
        <v>28</v>
      </c>
      <c r="O23" s="16"/>
      <c r="P23" s="16"/>
      <c r="Q23" s="16"/>
      <c r="R23" s="16"/>
      <c r="S23" s="16"/>
    </row>
    <row r="24" spans="1:19" ht="18" customHeight="1" x14ac:dyDescent="0.3">
      <c r="A24" s="27" t="s">
        <v>45</v>
      </c>
      <c r="B24" s="28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 ht="18" customHeight="1" x14ac:dyDescent="0.3">
      <c r="A25" s="13" t="s">
        <v>46</v>
      </c>
      <c r="B25" s="14">
        <v>46139</v>
      </c>
      <c r="C25" s="14">
        <v>46146</v>
      </c>
      <c r="D25" s="15">
        <f>(C25-B25)+1</f>
        <v>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30"/>
      <c r="P25" s="30"/>
      <c r="Q25" s="16"/>
      <c r="R25" s="16"/>
      <c r="S25" s="16"/>
    </row>
    <row r="26" spans="1:19" ht="18" customHeight="1" x14ac:dyDescent="0.3">
      <c r="A26" s="8" t="s">
        <v>47</v>
      </c>
      <c r="B26" s="9">
        <v>46143</v>
      </c>
      <c r="C26" s="9">
        <v>46152</v>
      </c>
      <c r="D26" s="10">
        <f>(C26-B26)+1</f>
        <v>10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30"/>
      <c r="P26" s="30"/>
      <c r="Q26" s="12"/>
      <c r="R26" s="12"/>
      <c r="S26" s="12"/>
    </row>
    <row r="27" spans="1:19" ht="18" customHeight="1" x14ac:dyDescent="0.3">
      <c r="A27" s="13" t="s">
        <v>48</v>
      </c>
      <c r="B27" s="14">
        <v>46147</v>
      </c>
      <c r="C27" s="14">
        <v>46163</v>
      </c>
      <c r="D27" s="15">
        <f>(C27-B27)+1</f>
        <v>17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30"/>
      <c r="Q27" s="30"/>
      <c r="R27" s="30"/>
      <c r="S27" s="16"/>
    </row>
    <row r="28" spans="1:19" ht="18" customHeight="1" x14ac:dyDescent="0.3">
      <c r="A28" s="8" t="s">
        <v>49</v>
      </c>
      <c r="B28" s="9">
        <v>46160</v>
      </c>
      <c r="C28" s="9">
        <v>46169</v>
      </c>
      <c r="D28" s="10">
        <f>(C28-B28)+1</f>
        <v>10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30"/>
      <c r="S28" s="30"/>
    </row>
    <row r="29" spans="1:19" ht="18" customHeight="1" x14ac:dyDescent="0.3">
      <c r="A29" s="13" t="s">
        <v>50</v>
      </c>
      <c r="B29" s="14">
        <v>46164</v>
      </c>
      <c r="C29" s="14">
        <v>46172</v>
      </c>
      <c r="D29" s="15">
        <f>(C29-B29)+1</f>
        <v>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30"/>
      <c r="S29" s="30"/>
    </row>
    <row r="30" spans="1:19" ht="18" customHeight="1" x14ac:dyDescent="0.3">
      <c r="A30" s="31" t="s">
        <v>51</v>
      </c>
      <c r="B30" s="9">
        <v>46173</v>
      </c>
      <c r="C30" s="9">
        <v>46173</v>
      </c>
      <c r="D30" s="10">
        <v>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32" t="s">
        <v>28</v>
      </c>
    </row>
    <row r="33" spans="1:1" x14ac:dyDescent="0.3">
      <c r="A33" s="2" t="s">
        <v>52</v>
      </c>
    </row>
    <row r="34" spans="1:1" x14ac:dyDescent="0.3">
      <c r="A34" s="33" t="s">
        <v>53</v>
      </c>
    </row>
    <row r="35" spans="1:1" x14ac:dyDescent="0.3">
      <c r="A35" s="34" t="s">
        <v>54</v>
      </c>
    </row>
    <row r="36" spans="1:1" x14ac:dyDescent="0.3">
      <c r="A36" s="35" t="s">
        <v>55</v>
      </c>
    </row>
    <row r="37" spans="1:1" x14ac:dyDescent="0.3">
      <c r="A37" s="36" t="s">
        <v>56</v>
      </c>
    </row>
    <row r="38" spans="1:1" x14ac:dyDescent="0.3">
      <c r="A38" s="37" t="s">
        <v>57</v>
      </c>
    </row>
  </sheetData>
  <mergeCells count="4">
    <mergeCell ref="E1:F1"/>
    <mergeCell ref="G1:K1"/>
    <mergeCell ref="L1:O1"/>
    <mergeCell ref="P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FBD7-028B-499E-9E9C-2C08DD147AE3}">
  <dimension ref="B4:S36"/>
  <sheetViews>
    <sheetView tabSelected="1" zoomScale="90" zoomScaleNormal="90" workbookViewId="0">
      <selection activeCell="N22" sqref="N22"/>
    </sheetView>
  </sheetViews>
  <sheetFormatPr baseColWidth="10" defaultRowHeight="14.4" x14ac:dyDescent="0.3"/>
  <cols>
    <col min="1" max="1" width="11.5546875" style="38"/>
    <col min="2" max="2" width="30.5546875" style="38" customWidth="1"/>
    <col min="3" max="3" width="12.109375" style="38" customWidth="1"/>
    <col min="4" max="5" width="11.5546875" style="38"/>
    <col min="6" max="12" width="2" style="38" customWidth="1"/>
    <col min="13" max="16384" width="11.5546875" style="38"/>
  </cols>
  <sheetData>
    <row r="4" spans="2:19" s="38" customFormat="1" x14ac:dyDescent="0.3">
      <c r="F4" s="65" t="s">
        <v>77</v>
      </c>
      <c r="G4" s="65"/>
      <c r="H4" s="65"/>
      <c r="I4" s="65"/>
      <c r="J4" s="65"/>
      <c r="K4" s="65"/>
      <c r="L4" s="65"/>
      <c r="M4" s="65" t="s">
        <v>76</v>
      </c>
      <c r="N4" s="65"/>
      <c r="O4" s="65"/>
      <c r="P4" s="65"/>
      <c r="Q4" s="65"/>
      <c r="R4" s="65"/>
      <c r="S4" s="65"/>
    </row>
    <row r="5" spans="2:19" s="38" customFormat="1" x14ac:dyDescent="0.3">
      <c r="B5" s="64" t="s">
        <v>0</v>
      </c>
      <c r="C5" s="63"/>
      <c r="D5" s="63" t="s">
        <v>1</v>
      </c>
      <c r="E5" s="63" t="s">
        <v>3</v>
      </c>
      <c r="F5" s="62" t="s">
        <v>75</v>
      </c>
      <c r="G5" s="62" t="s">
        <v>74</v>
      </c>
      <c r="H5" s="62" t="s">
        <v>73</v>
      </c>
      <c r="I5" s="62" t="s">
        <v>72</v>
      </c>
      <c r="J5" s="62" t="s">
        <v>71</v>
      </c>
      <c r="K5" s="62" t="s">
        <v>70</v>
      </c>
      <c r="L5" s="62" t="s">
        <v>69</v>
      </c>
    </row>
    <row r="6" spans="2:19" s="38" customFormat="1" x14ac:dyDescent="0.3">
      <c r="B6" s="61"/>
      <c r="C6" s="60"/>
      <c r="D6" s="59"/>
      <c r="E6" s="58"/>
    </row>
    <row r="7" spans="2:19" s="38" customFormat="1" x14ac:dyDescent="0.3">
      <c r="B7" s="57" t="s">
        <v>23</v>
      </c>
      <c r="C7" s="56"/>
      <c r="D7" s="56"/>
      <c r="E7" s="56"/>
    </row>
    <row r="8" spans="2:19" s="38" customFormat="1" ht="15" customHeight="1" x14ac:dyDescent="0.3">
      <c r="B8" s="55" t="s">
        <v>68</v>
      </c>
      <c r="C8" s="55"/>
      <c r="D8" s="54">
        <v>46071</v>
      </c>
      <c r="E8" s="53"/>
    </row>
    <row r="9" spans="2:19" s="38" customFormat="1" x14ac:dyDescent="0.3">
      <c r="B9" s="55" t="s">
        <v>67</v>
      </c>
      <c r="C9" s="55"/>
      <c r="D9" s="54">
        <v>46082</v>
      </c>
      <c r="E9" s="53"/>
    </row>
    <row r="10" spans="2:19" s="38" customFormat="1" x14ac:dyDescent="0.3">
      <c r="B10" s="55" t="s">
        <v>66</v>
      </c>
      <c r="C10" s="55"/>
      <c r="D10" s="54">
        <v>46078</v>
      </c>
      <c r="E10" s="53"/>
    </row>
    <row r="11" spans="2:19" s="38" customFormat="1" x14ac:dyDescent="0.3">
      <c r="B11" s="55" t="s">
        <v>65</v>
      </c>
      <c r="C11" s="55"/>
      <c r="D11" s="54">
        <v>46088</v>
      </c>
      <c r="E11" s="53"/>
    </row>
    <row r="12" spans="2:19" s="38" customFormat="1" x14ac:dyDescent="0.3">
      <c r="B12" s="52" t="s">
        <v>29</v>
      </c>
      <c r="C12" s="52"/>
      <c r="D12" s="52"/>
      <c r="E12" s="52"/>
    </row>
    <row r="13" spans="2:19" s="38" customFormat="1" x14ac:dyDescent="0.3">
      <c r="B13" s="51" t="s">
        <v>64</v>
      </c>
      <c r="C13" s="51"/>
      <c r="D13" s="50"/>
      <c r="E13" s="49"/>
    </row>
    <row r="14" spans="2:19" s="38" customFormat="1" x14ac:dyDescent="0.3">
      <c r="B14" s="51" t="s">
        <v>63</v>
      </c>
      <c r="C14" s="51"/>
      <c r="D14" s="50"/>
      <c r="E14" s="49"/>
    </row>
    <row r="15" spans="2:19" s="38" customFormat="1" x14ac:dyDescent="0.3">
      <c r="B15" s="51" t="s">
        <v>32</v>
      </c>
      <c r="C15" s="51"/>
      <c r="D15" s="50"/>
      <c r="E15" s="49"/>
    </row>
    <row r="16" spans="2:19" s="38" customFormat="1" x14ac:dyDescent="0.3">
      <c r="B16" s="51" t="s">
        <v>33</v>
      </c>
      <c r="C16" s="51"/>
      <c r="D16" s="50"/>
      <c r="E16" s="49"/>
    </row>
    <row r="17" spans="2:5" s="38" customFormat="1" x14ac:dyDescent="0.3">
      <c r="B17" s="51" t="s">
        <v>34</v>
      </c>
      <c r="C17" s="51"/>
      <c r="D17" s="50"/>
      <c r="E17" s="49"/>
    </row>
    <row r="18" spans="2:5" s="38" customFormat="1" x14ac:dyDescent="0.3">
      <c r="B18" s="51" t="s">
        <v>35</v>
      </c>
      <c r="C18" s="51"/>
      <c r="D18" s="50"/>
      <c r="E18" s="49"/>
    </row>
    <row r="19" spans="2:5" s="38" customFormat="1" x14ac:dyDescent="0.3">
      <c r="B19" s="51" t="s">
        <v>36</v>
      </c>
      <c r="C19" s="51"/>
      <c r="D19" s="50"/>
      <c r="E19" s="49"/>
    </row>
    <row r="20" spans="2:5" s="38" customFormat="1" x14ac:dyDescent="0.3">
      <c r="B20" s="51" t="s">
        <v>37</v>
      </c>
      <c r="C20" s="51"/>
      <c r="D20" s="50"/>
      <c r="E20" s="49"/>
    </row>
    <row r="21" spans="2:5" s="38" customFormat="1" x14ac:dyDescent="0.3">
      <c r="B21" s="51" t="s">
        <v>62</v>
      </c>
      <c r="C21" s="51"/>
      <c r="D21" s="50"/>
      <c r="E21" s="49"/>
    </row>
    <row r="22" spans="2:5" s="38" customFormat="1" x14ac:dyDescent="0.3">
      <c r="B22" s="48" t="s">
        <v>39</v>
      </c>
      <c r="C22" s="48"/>
      <c r="D22" s="48"/>
      <c r="E22" s="48"/>
    </row>
    <row r="23" spans="2:5" s="38" customFormat="1" x14ac:dyDescent="0.3">
      <c r="B23" s="47" t="s">
        <v>40</v>
      </c>
      <c r="C23" s="47"/>
      <c r="D23" s="45"/>
      <c r="E23" s="44"/>
    </row>
    <row r="24" spans="2:5" s="38" customFormat="1" x14ac:dyDescent="0.3">
      <c r="B24" s="47" t="s">
        <v>61</v>
      </c>
      <c r="C24" s="47"/>
      <c r="D24" s="45"/>
      <c r="E24" s="44"/>
    </row>
    <row r="25" spans="2:5" s="38" customFormat="1" x14ac:dyDescent="0.3">
      <c r="B25" s="47" t="s">
        <v>42</v>
      </c>
      <c r="C25" s="47"/>
      <c r="D25" s="45"/>
      <c r="E25" s="44"/>
    </row>
    <row r="26" spans="2:5" s="38" customFormat="1" x14ac:dyDescent="0.3">
      <c r="B26" s="47" t="s">
        <v>43</v>
      </c>
      <c r="C26" s="47"/>
      <c r="D26" s="45"/>
      <c r="E26" s="44"/>
    </row>
    <row r="27" spans="2:5" s="38" customFormat="1" x14ac:dyDescent="0.3">
      <c r="B27" s="46" t="s">
        <v>60</v>
      </c>
      <c r="C27" s="46"/>
      <c r="D27" s="45"/>
      <c r="E27" s="44"/>
    </row>
    <row r="28" spans="2:5" s="38" customFormat="1" x14ac:dyDescent="0.3">
      <c r="B28" s="43" t="s">
        <v>45</v>
      </c>
      <c r="C28" s="43"/>
      <c r="D28" s="43"/>
      <c r="E28" s="43"/>
    </row>
    <row r="29" spans="2:5" s="38" customFormat="1" x14ac:dyDescent="0.3">
      <c r="B29" s="42" t="s">
        <v>46</v>
      </c>
      <c r="C29" s="42"/>
      <c r="D29" s="40"/>
      <c r="E29" s="39"/>
    </row>
    <row r="30" spans="2:5" s="38" customFormat="1" x14ac:dyDescent="0.3">
      <c r="B30" s="42" t="s">
        <v>47</v>
      </c>
      <c r="C30" s="42"/>
      <c r="D30" s="40"/>
      <c r="E30" s="39"/>
    </row>
    <row r="31" spans="2:5" s="38" customFormat="1" x14ac:dyDescent="0.3">
      <c r="B31" s="42" t="s">
        <v>48</v>
      </c>
      <c r="C31" s="42"/>
      <c r="D31" s="40"/>
      <c r="E31" s="39"/>
    </row>
    <row r="32" spans="2:5" s="38" customFormat="1" x14ac:dyDescent="0.3">
      <c r="B32" s="42" t="s">
        <v>49</v>
      </c>
      <c r="C32" s="42"/>
      <c r="D32" s="40"/>
      <c r="E32" s="39"/>
    </row>
    <row r="33" spans="2:5" s="38" customFormat="1" x14ac:dyDescent="0.3">
      <c r="B33" s="42" t="s">
        <v>59</v>
      </c>
      <c r="C33" s="42"/>
      <c r="D33" s="40"/>
      <c r="E33" s="39"/>
    </row>
    <row r="34" spans="2:5" s="38" customFormat="1" x14ac:dyDescent="0.3">
      <c r="B34" s="41" t="s">
        <v>58</v>
      </c>
      <c r="C34" s="41"/>
      <c r="D34" s="40"/>
      <c r="E34" s="39"/>
    </row>
    <row r="35" spans="2:5" s="38" customFormat="1" x14ac:dyDescent="0.3"/>
    <row r="36" spans="2:5" s="38" customFormat="1" x14ac:dyDescent="0.3"/>
  </sheetData>
  <mergeCells count="28">
    <mergeCell ref="B7:E7"/>
    <mergeCell ref="B12:E12"/>
    <mergeCell ref="B22:E22"/>
    <mergeCell ref="B28:E28"/>
    <mergeCell ref="B8:C8"/>
    <mergeCell ref="B9:C9"/>
    <mergeCell ref="B10:C10"/>
    <mergeCell ref="B11:C11"/>
    <mergeCell ref="B29:C29"/>
    <mergeCell ref="B13:C13"/>
    <mergeCell ref="B14:C14"/>
    <mergeCell ref="B15:C15"/>
    <mergeCell ref="B16:C16"/>
    <mergeCell ref="B21:C21"/>
    <mergeCell ref="B17:C17"/>
    <mergeCell ref="B18:C18"/>
    <mergeCell ref="B20:C20"/>
    <mergeCell ref="B19:C19"/>
    <mergeCell ref="B30:C30"/>
    <mergeCell ref="B31:C31"/>
    <mergeCell ref="B32:C32"/>
    <mergeCell ref="B33:C33"/>
    <mergeCell ref="F4:L4"/>
    <mergeCell ref="M4:S4"/>
    <mergeCell ref="B23:C23"/>
    <mergeCell ref="B24:C24"/>
    <mergeCell ref="B25:C25"/>
    <mergeCell ref="B26:C26"/>
  </mergeCells>
  <dataValidations count="1">
    <dataValidation type="list" allowBlank="1" showInputMessage="1" showErrorMessage="1" sqref="C6" xr:uid="{B0C920EC-53AE-4294-A5C9-69715D62E32A}">
      <formula1>"Objetivo,Hito,Según lo previsto, Riesgo bajo, Riesgo medio, Riesgo alto"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052E-4078-4146-9B86-B8CA4EDD3A6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Diagrama de Gantt</vt:lpstr>
      <vt:lpstr>Hoja1 (2)</vt:lpstr>
      <vt:lpstr>Hoja1</vt:lpstr>
      <vt:lpstr>'Hoja1 (2)'!Incremento_de_desplazamiento</vt:lpstr>
      <vt:lpstr>'Hoja1 (2)'!Inicio_del_proyecto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Pilar López Fernández</cp:lastModifiedBy>
  <cp:revision>0</cp:revision>
  <dcterms:created xsi:type="dcterms:W3CDTF">2026-03-17T20:18:44Z</dcterms:created>
  <dcterms:modified xsi:type="dcterms:W3CDTF">2026-03-17T20:22:12Z</dcterms:modified>
  <dc:language>en-US</dc:language>
</cp:coreProperties>
</file>